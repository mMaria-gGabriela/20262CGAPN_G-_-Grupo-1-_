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5B206085-4708-4960-8017-2897374CE673}" xr6:coauthVersionLast="47" xr6:coauthVersionMax="47" xr10:uidLastSave="{00000000-0000-0000-0000-000000000000}"/>
  <bookViews>
    <workbookView xWindow="-108" yWindow="-108" windowWidth="23256" windowHeight="12456" tabRatio="500" activeTab="1" xr2:uid="{00000000-000D-0000-FFFF-FFFF00000000}"/>
  </bookViews>
  <sheets>
    <sheet name="Parametros_PNAE" sheetId="2" r:id="rId1"/>
    <sheet name="Simulador_Escola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31" i="3" l="1"/>
  <c r="B17" i="3"/>
  <c r="B19" i="3" s="1"/>
  <c r="C23" i="3" s="1"/>
  <c r="C10" i="3"/>
  <c r="B21" i="3" s="1"/>
  <c r="C11" i="3"/>
  <c r="D29" i="3" s="1"/>
  <c r="C12" i="3"/>
  <c r="C13" i="3"/>
  <c r="C14" i="3"/>
  <c r="C15" i="3"/>
  <c r="C16" i="3"/>
  <c r="B20" i="3"/>
  <c r="C29" i="3"/>
  <c r="C30" i="3"/>
  <c r="C32" i="3"/>
  <c r="C33" i="3"/>
  <c r="C34" i="3"/>
  <c r="C28" i="3"/>
  <c r="D30" i="3"/>
  <c r="D31" i="3"/>
  <c r="D32" i="3"/>
  <c r="D33" i="3"/>
  <c r="D34" i="3"/>
  <c r="C35" i="3" l="1"/>
  <c r="B39" i="3" s="1"/>
  <c r="D28" i="3"/>
  <c r="D35" i="3" s="1"/>
  <c r="C39" i="3" s="1"/>
</calcChain>
</file>

<file path=xl/sharedStrings.xml><?xml version="1.0" encoding="utf-8"?>
<sst xmlns="http://schemas.openxmlformats.org/spreadsheetml/2006/main" count="60" uniqueCount="41">
  <si>
    <t>Parâmetros do PNAE — 2026</t>
  </si>
  <si>
    <t>Fonte: Resolução CD/FNDE nº 1, de 18 de fevereiro de 2026 (altera a Resolução CD/FNDE nº 6/2020). Reajuste médio de 14,35% em relação a 2025. Valores em vigor desde a primeira parcela de 2026.</t>
  </si>
  <si>
    <t>Modalidade</t>
  </si>
  <si>
    <t>Valor per capita (R$/dia)</t>
  </si>
  <si>
    <t>Creche</t>
  </si>
  <si>
    <t>Pré-escola</t>
  </si>
  <si>
    <t>Fundamental</t>
  </si>
  <si>
    <t>Médio</t>
  </si>
  <si>
    <t>EJA</t>
  </si>
  <si>
    <t>Indígena/Quilombola</t>
  </si>
  <si>
    <t>AEE (contraturno)</t>
  </si>
  <si>
    <t>Dias letivos (ano)</t>
  </si>
  <si>
    <t>Faixas de Porte da Escola (classificação didática)</t>
  </si>
  <si>
    <t>Matrículas (mínimo)</t>
  </si>
  <si>
    <t>Porte</t>
  </si>
  <si>
    <t>Pequena</t>
  </si>
  <si>
    <t>Média</t>
  </si>
  <si>
    <t>Grande</t>
  </si>
  <si>
    <t>Projeto 1 — Simulador de Repasse do PNAE</t>
  </si>
  <si>
    <t>Escola e matrículas fictícias, criadas para fins didáticos. Valores per capita, dias letivos e a regra de cálculo do repasse são reais (Resolução CD/FNDE nº 1/2026). O bairro é real, no município de Osasco/SP.</t>
  </si>
  <si>
    <t>Nome da Escola (fictício)</t>
  </si>
  <si>
    <t>EMEB Vila Quitaúna</t>
  </si>
  <si>
    <t>Bairro</t>
  </si>
  <si>
    <t>Quitaúna</t>
  </si>
  <si>
    <t>Município</t>
  </si>
  <si>
    <t>Osasco/SP</t>
  </si>
  <si>
    <t>Matrículas por modalidade (ano letivo projetado)</t>
  </si>
  <si>
    <t>Matrículas</t>
  </si>
  <si>
    <t>Total de Matrículas</t>
  </si>
  <si>
    <t>Porte da Escola</t>
  </si>
  <si>
    <t>Dias letivos</t>
  </si>
  <si>
    <t>Repasse Anual Estimado (R$)</t>
  </si>
  <si>
    <t>Elegibilidade para complementação municipal (regra de exercício)</t>
  </si>
  <si>
    <t>Regra criada apenas para praticar SE aninhado e E/OU; não reproduz nenhum critério oficial de complementação.</t>
  </si>
  <si>
    <t>Fator de Variação</t>
  </si>
  <si>
    <t>Faixas criadas para fins didáticos deste curso</t>
  </si>
  <si>
    <t>Modelo para Simulação</t>
  </si>
  <si>
    <t>Fator de Ajuste</t>
  </si>
  <si>
    <t>Matriculadas Ajustadas</t>
  </si>
  <si>
    <t>Total de Matrículas e Repasse</t>
  </si>
  <si>
    <t>TABELA DE DADOS -&gt; Selecionar de A39 até C48 -&gt; Dados/Teste de Hipótese/Tabela de Dados -&gt; Linha não preencher e Coluna informar C26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</si>
</sst>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12" x14ac:knownFonts="1">
    <font>
      <sz val="11"/>
      <color theme="1"/>
      <name val="Calibri"/>
      <family val="2"/>
      <charset val="1"/>
    </font>
    <font>
      <sz val="10"/>
      <color rgb="FF0000FF"/>
      <name val="Arial"/>
      <family val="2"/>
    </font>
    <font>
      <sz val="10"/>
      <color rgb="FF000000"/>
      <name val="Arial"/>
      <family val="2"/>
    </font>
    <font>
      <b/>
      <sz val="10"/>
      <color rgb="FF333333"/>
      <name val="Arial"/>
      <family val="2"/>
    </font>
    <font>
      <b/>
      <sz val="11"/>
      <color rgb="FF333333"/>
      <name val="Arial"/>
      <family val="2"/>
    </font>
    <font>
      <b/>
      <sz val="14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4"/>
      <color theme="1"/>
      <name val="Arial"/>
      <family val="2"/>
    </font>
    <font>
      <sz val="9"/>
      <color theme="1"/>
      <name val="Arial"/>
      <family val="2"/>
    </font>
    <font>
      <b/>
      <sz val="11"/>
      <color theme="1"/>
      <name val="Calibri"/>
      <family val="2"/>
    </font>
    <font>
      <b/>
      <sz val="10"/>
      <color rgb="FF00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2F2F2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92D050"/>
        <bgColor indexed="64"/>
      </patternFill>
    </fill>
    <fill>
      <patternFill patternType="solid">
        <fgColor theme="8" tint="-0.249977111117893"/>
        <bgColor rgb="FF333333"/>
      </patternFill>
    </fill>
    <fill>
      <patternFill patternType="solid">
        <fgColor theme="8" tint="0.59999389629810485"/>
        <bgColor rgb="FFFFFF00"/>
      </patternFill>
    </fill>
    <fill>
      <patternFill patternType="solid">
        <fgColor theme="3" tint="0.59999389629810485"/>
        <bgColor rgb="FF333333"/>
      </patternFill>
    </fill>
    <fill>
      <patternFill patternType="solid">
        <fgColor theme="8" tint="0.39997558519241921"/>
        <bgColor indexed="64"/>
      </patternFill>
    </fill>
  </fills>
  <borders count="7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2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0" borderId="1" xfId="0" applyFont="1" applyBorder="1"/>
    <xf numFmtId="0" fontId="1" fillId="3" borderId="1" xfId="0" applyFont="1" applyFill="1" applyBorder="1" applyAlignment="1">
      <alignment horizontal="center"/>
    </xf>
    <xf numFmtId="0" fontId="3" fillId="2" borderId="1" xfId="0" applyFont="1" applyFill="1" applyBorder="1"/>
    <xf numFmtId="0" fontId="0" fillId="2" borderId="1" xfId="0" applyFill="1" applyBorder="1"/>
    <xf numFmtId="4" fontId="4" fillId="0" borderId="1" xfId="0" applyNumberFormat="1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1" xfId="0" applyFont="1" applyBorder="1"/>
    <xf numFmtId="4" fontId="7" fillId="0" borderId="1" xfId="0" applyNumberFormat="1" applyFont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10" fillId="0" borderId="0" xfId="0" applyFont="1" applyAlignment="1">
      <alignment horizontal="right"/>
    </xf>
    <xf numFmtId="9" fontId="0" fillId="0" borderId="4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64" fontId="0" fillId="4" borderId="0" xfId="0" applyNumberFormat="1" applyFill="1" applyAlignment="1">
      <alignment horizontal="center"/>
    </xf>
    <xf numFmtId="0" fontId="10" fillId="0" borderId="0" xfId="0" applyFont="1"/>
    <xf numFmtId="164" fontId="0" fillId="0" borderId="2" xfId="0" applyNumberFormat="1" applyBorder="1" applyAlignment="1">
      <alignment horizontal="center"/>
    </xf>
    <xf numFmtId="9" fontId="7" fillId="0" borderId="2" xfId="0" applyNumberFormat="1" applyFont="1" applyBorder="1" applyAlignment="1">
      <alignment horizontal="center"/>
    </xf>
    <xf numFmtId="0" fontId="7" fillId="0" borderId="0" xfId="0" applyFont="1" applyAlignment="1">
      <alignment horizontal="left" vertical="top" wrapText="1"/>
    </xf>
    <xf numFmtId="0" fontId="7" fillId="0" borderId="6" xfId="0" applyFont="1" applyBorder="1" applyAlignment="1">
      <alignment horizontal="left" vertical="top" wrapText="1"/>
    </xf>
    <xf numFmtId="0" fontId="9" fillId="0" borderId="0" xfId="0" applyFont="1" applyAlignment="1">
      <alignment vertical="top" wrapText="1"/>
    </xf>
    <xf numFmtId="0" fontId="3" fillId="0" borderId="0" xfId="0" applyFont="1"/>
    <xf numFmtId="0" fontId="3" fillId="0" borderId="1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0" xfId="0" applyFont="1"/>
    <xf numFmtId="0" fontId="8" fillId="5" borderId="0" xfId="0" applyFont="1" applyFill="1" applyAlignment="1">
      <alignment horizontal="left" vertical="center" indent="1"/>
    </xf>
    <xf numFmtId="0" fontId="7" fillId="6" borderId="1" xfId="0" applyFont="1" applyFill="1" applyBorder="1"/>
    <xf numFmtId="0" fontId="7" fillId="6" borderId="1" xfId="0" applyFont="1" applyFill="1" applyBorder="1" applyAlignment="1">
      <alignment horizontal="center"/>
    </xf>
    <xf numFmtId="0" fontId="6" fillId="5" borderId="1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7" fillId="6" borderId="2" xfId="0" applyFont="1" applyFill="1" applyBorder="1" applyAlignment="1">
      <alignment horizontal="center"/>
    </xf>
    <xf numFmtId="0" fontId="6" fillId="7" borderId="2" xfId="0" applyFont="1" applyFill="1" applyBorder="1" applyAlignment="1">
      <alignment horizontal="center" vertical="center" wrapText="1"/>
    </xf>
    <xf numFmtId="0" fontId="0" fillId="8" borderId="2" xfId="0" applyFill="1" applyBorder="1" applyAlignment="1">
      <alignment horizontal="center"/>
    </xf>
    <xf numFmtId="164" fontId="0" fillId="8" borderId="2" xfId="0" applyNumberFormat="1" applyFill="1" applyBorder="1" applyAlignment="1">
      <alignment horizontal="center"/>
    </xf>
    <xf numFmtId="9" fontId="7" fillId="8" borderId="2" xfId="0" applyNumberFormat="1" applyFont="1" applyFill="1" applyBorder="1" applyAlignment="1">
      <alignment horizontal="center"/>
    </xf>
    <xf numFmtId="0" fontId="11" fillId="0" borderId="1" xfId="0" applyFont="1" applyBorder="1" applyAlignment="1">
      <alignment horizontal="center" vertical="center" wrapText="1"/>
    </xf>
    <xf numFmtId="0" fontId="5" fillId="5" borderId="0" xfId="0" applyFont="1" applyFill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E6E6E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123825</xdr:colOff>
      <xdr:row>8</xdr:row>
      <xdr:rowOff>323850</xdr:rowOff>
    </xdr:from>
    <xdr:to>
      <xdr:col>4</xdr:col>
      <xdr:colOff>885825</xdr:colOff>
      <xdr:row>15</xdr:row>
      <xdr:rowOff>57150</xdr:rowOff>
    </xdr:to>
    <xdr:sp macro="" textlink="">
      <xdr:nvSpPr>
        <xdr:cNvPr id="2" name="Retângulo: Cantos Arredondados 1">
          <a:extLst>
            <a:ext uri="{FF2B5EF4-FFF2-40B4-BE49-F238E27FC236}">
              <a16:creationId xmlns:a16="http://schemas.microsoft.com/office/drawing/2014/main" id="{1F151D18-6B07-9A23-F23A-31EA200BA07A}"/>
            </a:ext>
          </a:extLst>
        </xdr:cNvPr>
        <xdr:cNvSpPr/>
      </xdr:nvSpPr>
      <xdr:spPr>
        <a:xfrm>
          <a:off x="4572000" y="2295525"/>
          <a:ext cx="1809750" cy="12573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Preencher valor per capita usando PROCV com busca</a:t>
          </a:r>
          <a:r>
            <a:rPr lang="pt-BR" sz="1100" baseline="0"/>
            <a:t> por valor exato a partir da tabela de parâmetros</a:t>
          </a:r>
          <a:endParaRPr lang="pt-BR" sz="1100"/>
        </a:p>
      </xdr:txBody>
    </xdr:sp>
    <xdr:clientData/>
  </xdr:twoCellAnchor>
  <xdr:twoCellAnchor>
    <xdr:from>
      <xdr:col>3</xdr:col>
      <xdr:colOff>142873</xdr:colOff>
      <xdr:row>17</xdr:row>
      <xdr:rowOff>57150</xdr:rowOff>
    </xdr:from>
    <xdr:to>
      <xdr:col>9</xdr:col>
      <xdr:colOff>200024</xdr:colOff>
      <xdr:row>21</xdr:row>
      <xdr:rowOff>9526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9165A314-321F-4ED5-9564-F9DC193A629D}"/>
            </a:ext>
          </a:extLst>
        </xdr:cNvPr>
        <xdr:cNvSpPr/>
      </xdr:nvSpPr>
      <xdr:spPr>
        <a:xfrm>
          <a:off x="4591048" y="3933825"/>
          <a:ext cx="6419851" cy="714376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Preencher Porte da Escola usando PROCV com busca</a:t>
          </a:r>
          <a:r>
            <a:rPr lang="pt-B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por valor aproximado a partir da tabela de parâmetros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Preencher dias letivos apenas buscando o valor da tabela de parâmetros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Preencher Repasse Anual Estimado usando SomarProduto (matriculas; Per Capita) * Dias Letivos</a:t>
          </a:r>
          <a:endParaRPr lang="pt-BR">
            <a:effectLst/>
          </a:endParaRPr>
        </a:p>
        <a:p>
          <a:pPr algn="l"/>
          <a:endParaRPr lang="pt-BR" sz="1100"/>
        </a:p>
      </xdr:txBody>
    </xdr:sp>
    <xdr:clientData/>
  </xdr:twoCellAnchor>
  <xdr:twoCellAnchor>
    <xdr:from>
      <xdr:col>3</xdr:col>
      <xdr:colOff>123824</xdr:colOff>
      <xdr:row>21</xdr:row>
      <xdr:rowOff>180975</xdr:rowOff>
    </xdr:from>
    <xdr:to>
      <xdr:col>9</xdr:col>
      <xdr:colOff>190500</xdr:colOff>
      <xdr:row>24</xdr:row>
      <xdr:rowOff>1</xdr:rowOff>
    </xdr:to>
    <xdr:sp macro="" textlink="">
      <xdr:nvSpPr>
        <xdr:cNvPr id="4" name="Retângulo: Cantos Arredondados 3">
          <a:extLst>
            <a:ext uri="{FF2B5EF4-FFF2-40B4-BE49-F238E27FC236}">
              <a16:creationId xmlns:a16="http://schemas.microsoft.com/office/drawing/2014/main" id="{D3C50B3F-EF2A-4136-937D-655A71375A12}"/>
            </a:ext>
          </a:extLst>
        </xdr:cNvPr>
        <xdr:cNvSpPr/>
      </xdr:nvSpPr>
      <xdr:spPr>
        <a:xfrm>
          <a:off x="4571999" y="4819650"/>
          <a:ext cx="6429376" cy="714376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Se a escola é pequena</a:t>
          </a:r>
          <a:r>
            <a:rPr lang="pt-B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E tem matrículas em Creche ou Pré-Escola então vamos considerar que é elegível: Escrever se com E e com OU </a:t>
          </a:r>
          <a:endParaRPr lang="pt-BR">
            <a:effectLst/>
          </a:endParaRPr>
        </a:p>
        <a:p>
          <a:pPr algn="l"/>
          <a:endParaRPr lang="pt-BR" sz="1100"/>
        </a:p>
      </xdr:txBody>
    </xdr:sp>
    <xdr:clientData/>
  </xdr:twoCellAnchor>
  <xdr:twoCellAnchor>
    <xdr:from>
      <xdr:col>4</xdr:col>
      <xdr:colOff>95250</xdr:colOff>
      <xdr:row>26</xdr:row>
      <xdr:rowOff>38099</xdr:rowOff>
    </xdr:from>
    <xdr:to>
      <xdr:col>6</xdr:col>
      <xdr:colOff>1400175</xdr:colOff>
      <xdr:row>33</xdr:row>
      <xdr:rowOff>66674</xdr:rowOff>
    </xdr:to>
    <xdr:sp macro="" textlink="">
      <xdr:nvSpPr>
        <xdr:cNvPr id="5" name="Retângulo: Cantos Arredondados 4">
          <a:extLst>
            <a:ext uri="{FF2B5EF4-FFF2-40B4-BE49-F238E27FC236}">
              <a16:creationId xmlns:a16="http://schemas.microsoft.com/office/drawing/2014/main" id="{80948D75-2CD1-4FA1-BBC9-C00C35DBE2AD}"/>
            </a:ext>
          </a:extLst>
        </xdr:cNvPr>
        <xdr:cNvSpPr/>
      </xdr:nvSpPr>
      <xdr:spPr>
        <a:xfrm>
          <a:off x="5591175" y="5972174"/>
          <a:ext cx="3705225" cy="1495425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Preparar um modelo para a Simulação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1) Dado</a:t>
          </a:r>
          <a:r>
            <a:rPr lang="pt-B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um fator de Reajuste, calcular a quantidade de matriculas ajustada (1+ Fator)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2) Calcular total a receber (em verde) usando SomarProduto (Matriculas; Valor Per Capita) * Dias Letivos</a:t>
          </a:r>
          <a:endParaRPr lang="pt-BR">
            <a:effectLst/>
          </a:endParaRPr>
        </a:p>
        <a:p>
          <a:pPr algn="l"/>
          <a:endParaRPr lang="pt-BR" sz="1100"/>
        </a:p>
      </xdr:txBody>
    </xdr:sp>
    <xdr:clientData/>
  </xdr:twoCellAnchor>
  <xdr:twoCellAnchor>
    <xdr:from>
      <xdr:col>3</xdr:col>
      <xdr:colOff>180975</xdr:colOff>
      <xdr:row>38</xdr:row>
      <xdr:rowOff>38100</xdr:rowOff>
    </xdr:from>
    <xdr:to>
      <xdr:col>5</xdr:col>
      <xdr:colOff>752475</xdr:colOff>
      <xdr:row>41</xdr:row>
      <xdr:rowOff>180976</xdr:rowOff>
    </xdr:to>
    <xdr:sp macro="" textlink="">
      <xdr:nvSpPr>
        <xdr:cNvPr id="6" name="Retângulo: Cantos Arredondados 5">
          <a:extLst>
            <a:ext uri="{FF2B5EF4-FFF2-40B4-BE49-F238E27FC236}">
              <a16:creationId xmlns:a16="http://schemas.microsoft.com/office/drawing/2014/main" id="{A024B665-3C88-4B12-A398-0F9887B435BB}"/>
            </a:ext>
          </a:extLst>
        </xdr:cNvPr>
        <xdr:cNvSpPr/>
      </xdr:nvSpPr>
      <xdr:spPr>
        <a:xfrm>
          <a:off x="4629150" y="8391525"/>
          <a:ext cx="2686050" cy="714376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Usar tabela de Dados para montar a simulação</a:t>
          </a:r>
          <a:r>
            <a:rPr lang="pt-B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dos valores a receber em função da variação nas matrículas</a:t>
          </a:r>
          <a:endParaRPr lang="pt-BR">
            <a:effectLst/>
          </a:endParaRPr>
        </a:p>
        <a:p>
          <a:pPr algn="l"/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0"/>
  <sheetViews>
    <sheetView showGridLines="0" topLeftCell="A2" zoomScaleNormal="100" workbookViewId="0">
      <selection activeCell="E11" sqref="E11"/>
    </sheetView>
  </sheetViews>
  <sheetFormatPr defaultColWidth="8.6640625" defaultRowHeight="14.4" x14ac:dyDescent="0.3"/>
  <cols>
    <col min="1" max="1" width="26" customWidth="1"/>
    <col min="2" max="2" width="20" customWidth="1"/>
    <col min="3" max="3" width="4" customWidth="1"/>
  </cols>
  <sheetData>
    <row r="1" spans="1:2" ht="25.5" customHeight="1" x14ac:dyDescent="0.3">
      <c r="A1" s="41" t="s">
        <v>0</v>
      </c>
      <c r="B1" s="41"/>
    </row>
    <row r="2" spans="1:2" ht="62.25" customHeight="1" x14ac:dyDescent="0.3">
      <c r="A2" s="24" t="s">
        <v>1</v>
      </c>
      <c r="B2" s="24"/>
    </row>
    <row r="4" spans="1:2" ht="27.75" customHeight="1" x14ac:dyDescent="0.3">
      <c r="A4" s="32" t="s">
        <v>2</v>
      </c>
      <c r="B4" s="32" t="s">
        <v>3</v>
      </c>
    </row>
    <row r="5" spans="1:2" x14ac:dyDescent="0.3">
      <c r="A5" s="9" t="s">
        <v>4</v>
      </c>
      <c r="B5" s="10">
        <v>1.57</v>
      </c>
    </row>
    <row r="6" spans="1:2" x14ac:dyDescent="0.3">
      <c r="A6" s="9" t="s">
        <v>5</v>
      </c>
      <c r="B6" s="10">
        <v>0.82</v>
      </c>
    </row>
    <row r="7" spans="1:2" x14ac:dyDescent="0.3">
      <c r="A7" s="9" t="s">
        <v>6</v>
      </c>
      <c r="B7" s="10">
        <v>0.56999999999999995</v>
      </c>
    </row>
    <row r="8" spans="1:2" x14ac:dyDescent="0.3">
      <c r="A8" s="9" t="s">
        <v>7</v>
      </c>
      <c r="B8" s="10">
        <v>0.56999999999999995</v>
      </c>
    </row>
    <row r="9" spans="1:2" x14ac:dyDescent="0.3">
      <c r="A9" s="9" t="s">
        <v>8</v>
      </c>
      <c r="B9" s="10">
        <v>0.56999999999999995</v>
      </c>
    </row>
    <row r="10" spans="1:2" x14ac:dyDescent="0.3">
      <c r="A10" s="9" t="s">
        <v>9</v>
      </c>
      <c r="B10" s="10">
        <v>0.98</v>
      </c>
    </row>
    <row r="11" spans="1:2" x14ac:dyDescent="0.3">
      <c r="A11" s="9" t="s">
        <v>10</v>
      </c>
      <c r="B11" s="10">
        <v>0.78</v>
      </c>
    </row>
    <row r="13" spans="1:2" x14ac:dyDescent="0.3">
      <c r="A13" s="3" t="s">
        <v>11</v>
      </c>
      <c r="B13" s="4">
        <v>200</v>
      </c>
    </row>
    <row r="15" spans="1:2" x14ac:dyDescent="0.3">
      <c r="A15" s="25" t="s">
        <v>12</v>
      </c>
      <c r="B15" s="25"/>
    </row>
    <row r="16" spans="1:2" x14ac:dyDescent="0.3">
      <c r="A16" s="32" t="s">
        <v>13</v>
      </c>
      <c r="B16" s="32" t="s">
        <v>14</v>
      </c>
    </row>
    <row r="17" spans="1:2" x14ac:dyDescent="0.3">
      <c r="A17" s="8">
        <v>0</v>
      </c>
      <c r="B17" s="8" t="s">
        <v>15</v>
      </c>
    </row>
    <row r="18" spans="1:2" x14ac:dyDescent="0.3">
      <c r="A18" s="8">
        <v>201</v>
      </c>
      <c r="B18" s="8" t="s">
        <v>16</v>
      </c>
    </row>
    <row r="19" spans="1:2" x14ac:dyDescent="0.3">
      <c r="A19" s="8">
        <v>401</v>
      </c>
      <c r="B19" s="8" t="s">
        <v>17</v>
      </c>
    </row>
    <row r="20" spans="1:2" x14ac:dyDescent="0.3">
      <c r="A20" s="28" t="s">
        <v>35</v>
      </c>
      <c r="B20" s="28"/>
    </row>
  </sheetData>
  <mergeCells count="4">
    <mergeCell ref="A1:B1"/>
    <mergeCell ref="A2:B2"/>
    <mergeCell ref="A15:B15"/>
    <mergeCell ref="A20:B20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48"/>
  <sheetViews>
    <sheetView showGridLines="0" tabSelected="1" zoomScaleNormal="100" workbookViewId="0">
      <selection activeCell="D8" sqref="D8"/>
    </sheetView>
  </sheetViews>
  <sheetFormatPr defaultColWidth="8.6640625" defaultRowHeight="14.4" x14ac:dyDescent="0.3"/>
  <cols>
    <col min="1" max="1" width="30" customWidth="1"/>
    <col min="2" max="2" width="18.44140625" bestFit="1" customWidth="1"/>
    <col min="3" max="3" width="18.33203125" bestFit="1" customWidth="1"/>
    <col min="4" max="4" width="15.6640625" bestFit="1" customWidth="1"/>
    <col min="5" max="5" width="16" customWidth="1"/>
    <col min="6" max="6" width="20" customWidth="1"/>
    <col min="7" max="7" width="22" customWidth="1"/>
    <col min="8" max="8" width="10" bestFit="1" customWidth="1"/>
    <col min="9" max="9" width="11.6640625" bestFit="1" customWidth="1"/>
  </cols>
  <sheetData>
    <row r="1" spans="1:3" ht="25.5" customHeight="1" x14ac:dyDescent="0.3">
      <c r="A1" s="29" t="s">
        <v>18</v>
      </c>
      <c r="B1" s="29"/>
      <c r="C1" s="29"/>
    </row>
    <row r="2" spans="1:3" ht="39.75" customHeight="1" x14ac:dyDescent="0.3">
      <c r="A2" s="24" t="s">
        <v>19</v>
      </c>
      <c r="B2" s="24"/>
      <c r="C2" s="24"/>
    </row>
    <row r="4" spans="1:3" x14ac:dyDescent="0.3">
      <c r="A4" s="3" t="s">
        <v>20</v>
      </c>
      <c r="B4" s="30" t="s">
        <v>21</v>
      </c>
    </row>
    <row r="5" spans="1:3" x14ac:dyDescent="0.3">
      <c r="A5" s="3" t="s">
        <v>22</v>
      </c>
      <c r="B5" s="30" t="s">
        <v>23</v>
      </c>
    </row>
    <row r="6" spans="1:3" x14ac:dyDescent="0.3">
      <c r="A6" s="3" t="s">
        <v>24</v>
      </c>
      <c r="B6" s="30" t="s">
        <v>25</v>
      </c>
    </row>
    <row r="8" spans="1:3" x14ac:dyDescent="0.3">
      <c r="A8" s="25" t="s">
        <v>26</v>
      </c>
      <c r="B8" s="25"/>
      <c r="C8" s="25"/>
    </row>
    <row r="9" spans="1:3" ht="30" customHeight="1" x14ac:dyDescent="0.3">
      <c r="A9" s="32" t="s">
        <v>2</v>
      </c>
      <c r="B9" s="32" t="s">
        <v>27</v>
      </c>
      <c r="C9" s="32" t="s">
        <v>3</v>
      </c>
    </row>
    <row r="10" spans="1:3" x14ac:dyDescent="0.3">
      <c r="A10" s="9" t="s">
        <v>4</v>
      </c>
      <c r="B10" s="31">
        <v>60</v>
      </c>
      <c r="C10" s="10">
        <f>VLOOKUP(A10,Parametros_PNAE!$A$5:$B$11,2,0)</f>
        <v>1.57</v>
      </c>
    </row>
    <row r="11" spans="1:3" x14ac:dyDescent="0.3">
      <c r="A11" s="9" t="s">
        <v>5</v>
      </c>
      <c r="B11" s="31">
        <v>80</v>
      </c>
      <c r="C11" s="10">
        <f>VLOOKUP(A11,Parametros_PNAE!$A$5:$B$11,2,0)</f>
        <v>0.82</v>
      </c>
    </row>
    <row r="12" spans="1:3" x14ac:dyDescent="0.3">
      <c r="A12" s="9" t="s">
        <v>6</v>
      </c>
      <c r="B12" s="31">
        <v>50</v>
      </c>
      <c r="C12" s="10">
        <f>VLOOKUP(A12,Parametros_PNAE!$A$5:$B$11,2,0)</f>
        <v>0.56999999999999995</v>
      </c>
    </row>
    <row r="13" spans="1:3" x14ac:dyDescent="0.3">
      <c r="A13" s="9" t="s">
        <v>7</v>
      </c>
      <c r="B13" s="31">
        <v>0</v>
      </c>
      <c r="C13" s="10">
        <f>VLOOKUP(A13,Parametros_PNAE!$A$5:$B$11,2,0)</f>
        <v>0.56999999999999995</v>
      </c>
    </row>
    <row r="14" spans="1:3" x14ac:dyDescent="0.3">
      <c r="A14" s="9" t="s">
        <v>8</v>
      </c>
      <c r="B14" s="31">
        <v>0</v>
      </c>
      <c r="C14" s="10">
        <f>VLOOKUP(A14,Parametros_PNAE!$A$5:$B$11,2,0)</f>
        <v>0.56999999999999995</v>
      </c>
    </row>
    <row r="15" spans="1:3" x14ac:dyDescent="0.3">
      <c r="A15" s="9" t="s">
        <v>9</v>
      </c>
      <c r="B15" s="31">
        <v>0</v>
      </c>
      <c r="C15" s="10">
        <f>VLOOKUP(A15,Parametros_PNAE!$A$5:$B$11,2,0)</f>
        <v>0.98</v>
      </c>
    </row>
    <row r="16" spans="1:3" x14ac:dyDescent="0.3">
      <c r="A16" s="9" t="s">
        <v>10</v>
      </c>
      <c r="B16" s="31">
        <v>0</v>
      </c>
      <c r="C16" s="10">
        <f>VLOOKUP(A16,Parametros_PNAE!$A$5:$B$11,2,0)</f>
        <v>0.78</v>
      </c>
    </row>
    <row r="17" spans="1:4" x14ac:dyDescent="0.3">
      <c r="A17" s="5" t="s">
        <v>28</v>
      </c>
      <c r="B17" s="2">
        <f>SUM(B10:B16)</f>
        <v>190</v>
      </c>
      <c r="C17" s="6"/>
    </row>
    <row r="19" spans="1:4" x14ac:dyDescent="0.3">
      <c r="A19" s="3" t="s">
        <v>29</v>
      </c>
      <c r="B19" s="1" t="str">
        <f>VLOOKUP(B17,Parametros_PNAE!$A$17:$B$19,2,TRUE)</f>
        <v>Pequena</v>
      </c>
      <c r="C19" s="6"/>
    </row>
    <row r="20" spans="1:4" x14ac:dyDescent="0.3">
      <c r="A20" s="3" t="s">
        <v>30</v>
      </c>
      <c r="B20" s="1">
        <f>Parametros_PNAE!B13</f>
        <v>200</v>
      </c>
      <c r="C20" s="6"/>
    </row>
    <row r="21" spans="1:4" x14ac:dyDescent="0.3">
      <c r="A21" s="3" t="s">
        <v>31</v>
      </c>
      <c r="B21" s="7">
        <f>SUMPRODUCT(B10:B16,C10:C16)*B20</f>
        <v>37660</v>
      </c>
      <c r="C21" s="6"/>
    </row>
    <row r="23" spans="1:4" ht="30" customHeight="1" x14ac:dyDescent="0.3">
      <c r="A23" s="26" t="s">
        <v>32</v>
      </c>
      <c r="B23" s="26"/>
      <c r="C23" s="40" t="str">
        <f>IF(AND(B19="Pequena",OR(B10&gt;0,B11&gt;0)),"Elegível","Inelegível")</f>
        <v>Elegível</v>
      </c>
    </row>
    <row r="24" spans="1:4" ht="25.5" customHeight="1" x14ac:dyDescent="0.3">
      <c r="A24" s="27" t="s">
        <v>33</v>
      </c>
      <c r="B24" s="27"/>
      <c r="C24" s="27"/>
    </row>
    <row r="25" spans="1:4" ht="15" thickBot="1" x14ac:dyDescent="0.35"/>
    <row r="26" spans="1:4" ht="15" thickBot="1" x14ac:dyDescent="0.35">
      <c r="A26" s="19" t="s">
        <v>36</v>
      </c>
      <c r="B26" s="15" t="s">
        <v>37</v>
      </c>
      <c r="C26" s="16">
        <v>0.05</v>
      </c>
    </row>
    <row r="27" spans="1:4" ht="26.4" x14ac:dyDescent="0.3">
      <c r="A27" s="33" t="s">
        <v>2</v>
      </c>
      <c r="B27" s="33" t="s">
        <v>27</v>
      </c>
      <c r="C27" s="34" t="s">
        <v>38</v>
      </c>
      <c r="D27" s="33" t="s">
        <v>3</v>
      </c>
    </row>
    <row r="28" spans="1:4" x14ac:dyDescent="0.3">
      <c r="A28" s="13" t="s">
        <v>4</v>
      </c>
      <c r="B28" s="35">
        <v>60</v>
      </c>
      <c r="C28" s="14">
        <f>B28*(1+$C$26)</f>
        <v>63</v>
      </c>
      <c r="D28" s="17">
        <f>C10</f>
        <v>1.57</v>
      </c>
    </row>
    <row r="29" spans="1:4" x14ac:dyDescent="0.3">
      <c r="A29" s="13" t="s">
        <v>5</v>
      </c>
      <c r="B29" s="35">
        <v>80</v>
      </c>
      <c r="C29" s="14">
        <f t="shared" ref="C29:C34" si="0">B29*(1+$C$26)</f>
        <v>84</v>
      </c>
      <c r="D29" s="17">
        <f t="shared" ref="D29:D34" si="1">C11</f>
        <v>0.82</v>
      </c>
    </row>
    <row r="30" spans="1:4" x14ac:dyDescent="0.3">
      <c r="A30" s="13" t="s">
        <v>6</v>
      </c>
      <c r="B30" s="35">
        <v>50</v>
      </c>
      <c r="C30" s="14">
        <f t="shared" si="0"/>
        <v>52.5</v>
      </c>
      <c r="D30" s="17">
        <f t="shared" si="1"/>
        <v>0.56999999999999995</v>
      </c>
    </row>
    <row r="31" spans="1:4" x14ac:dyDescent="0.3">
      <c r="A31" s="13" t="s">
        <v>7</v>
      </c>
      <c r="B31" s="35">
        <v>0</v>
      </c>
      <c r="C31" s="14">
        <f t="shared" si="0"/>
        <v>0</v>
      </c>
      <c r="D31" s="17">
        <f t="shared" si="1"/>
        <v>0.56999999999999995</v>
      </c>
    </row>
    <row r="32" spans="1:4" x14ac:dyDescent="0.3">
      <c r="A32" s="13" t="s">
        <v>8</v>
      </c>
      <c r="B32" s="35">
        <v>0</v>
      </c>
      <c r="C32" s="14">
        <f t="shared" si="0"/>
        <v>0</v>
      </c>
      <c r="D32" s="17">
        <f t="shared" si="1"/>
        <v>0.56999999999999995</v>
      </c>
    </row>
    <row r="33" spans="1:4" x14ac:dyDescent="0.3">
      <c r="A33" s="13" t="s">
        <v>9</v>
      </c>
      <c r="B33" s="35">
        <v>0</v>
      </c>
      <c r="C33" s="14">
        <f t="shared" si="0"/>
        <v>0</v>
      </c>
      <c r="D33" s="17">
        <f t="shared" si="1"/>
        <v>0.98</v>
      </c>
    </row>
    <row r="34" spans="1:4" x14ac:dyDescent="0.3">
      <c r="A34" s="13" t="s">
        <v>10</v>
      </c>
      <c r="B34" s="35">
        <v>0</v>
      </c>
      <c r="C34" s="14">
        <f t="shared" si="0"/>
        <v>0</v>
      </c>
      <c r="D34" s="17">
        <f t="shared" si="1"/>
        <v>0.78</v>
      </c>
    </row>
    <row r="35" spans="1:4" x14ac:dyDescent="0.3">
      <c r="A35" s="11" t="s">
        <v>39</v>
      </c>
      <c r="B35" s="12"/>
      <c r="C35" s="12">
        <f>SUM(C28:C34)</f>
        <v>199.5</v>
      </c>
      <c r="D35" s="18">
        <f>SUMPRODUCT(C28:C34,D28:D34)*B20</f>
        <v>39543.000000000007</v>
      </c>
    </row>
    <row r="37" spans="1:4" x14ac:dyDescent="0.3">
      <c r="A37" s="22" t="s">
        <v>40</v>
      </c>
      <c r="B37" s="22"/>
      <c r="C37" s="22"/>
    </row>
    <row r="38" spans="1:4" x14ac:dyDescent="0.3">
      <c r="A38" s="23"/>
      <c r="B38" s="23"/>
      <c r="C38" s="23"/>
    </row>
    <row r="39" spans="1:4" x14ac:dyDescent="0.3">
      <c r="A39" s="36" t="s">
        <v>34</v>
      </c>
      <c r="B39" s="37">
        <f>C35</f>
        <v>199.5</v>
      </c>
      <c r="C39" s="38">
        <f>D35</f>
        <v>39543.000000000007</v>
      </c>
    </row>
    <row r="40" spans="1:4" x14ac:dyDescent="0.3">
      <c r="A40" s="21">
        <v>-0.2</v>
      </c>
      <c r="B40" s="14">
        <f t="dataTable" ref="B40:C48" dt2D="0" dtr="0" r1="C26"/>
        <v>152</v>
      </c>
      <c r="C40" s="20">
        <v>30127.999999999996</v>
      </c>
    </row>
    <row r="41" spans="1:4" x14ac:dyDescent="0.3">
      <c r="A41" s="21">
        <v>-0.15</v>
      </c>
      <c r="B41" s="14">
        <v>161.5</v>
      </c>
      <c r="C41" s="20">
        <v>32011</v>
      </c>
    </row>
    <row r="42" spans="1:4" x14ac:dyDescent="0.3">
      <c r="A42" s="21">
        <v>-0.1</v>
      </c>
      <c r="B42" s="14">
        <v>171</v>
      </c>
      <c r="C42" s="20">
        <v>33894</v>
      </c>
    </row>
    <row r="43" spans="1:4" x14ac:dyDescent="0.3">
      <c r="A43" s="21">
        <v>-0.05</v>
      </c>
      <c r="B43" s="14">
        <v>180.5</v>
      </c>
      <c r="C43" s="20">
        <v>35777</v>
      </c>
    </row>
    <row r="44" spans="1:4" x14ac:dyDescent="0.3">
      <c r="A44" s="39">
        <v>0</v>
      </c>
      <c r="B44" s="37">
        <v>190</v>
      </c>
      <c r="C44" s="38">
        <v>37660</v>
      </c>
    </row>
    <row r="45" spans="1:4" x14ac:dyDescent="0.3">
      <c r="A45" s="21">
        <v>0.05</v>
      </c>
      <c r="B45" s="14">
        <v>199.5</v>
      </c>
      <c r="C45" s="20">
        <v>39543.000000000007</v>
      </c>
    </row>
    <row r="46" spans="1:4" x14ac:dyDescent="0.3">
      <c r="A46" s="21">
        <v>0.1</v>
      </c>
      <c r="B46" s="14">
        <v>209</v>
      </c>
      <c r="C46" s="20">
        <v>41426</v>
      </c>
    </row>
    <row r="47" spans="1:4" x14ac:dyDescent="0.3">
      <c r="A47" s="21">
        <v>0.15</v>
      </c>
      <c r="B47" s="14">
        <v>218.5</v>
      </c>
      <c r="C47" s="20">
        <v>43308.999999999993</v>
      </c>
    </row>
    <row r="48" spans="1:4" x14ac:dyDescent="0.3">
      <c r="A48" s="21">
        <v>0.2</v>
      </c>
      <c r="B48" s="14">
        <v>228</v>
      </c>
      <c r="C48" s="20">
        <v>45191.999999999993</v>
      </c>
    </row>
  </sheetData>
  <mergeCells count="6">
    <mergeCell ref="A37:C38"/>
    <mergeCell ref="A1:C1"/>
    <mergeCell ref="A2:C2"/>
    <mergeCell ref="A8:C8"/>
    <mergeCell ref="A23:B23"/>
    <mergeCell ref="A24:C24"/>
  </mergeCells>
  <pageMargins left="0.75" right="0.75" top="1" bottom="1" header="0.511811023622047" footer="0.511811023622047"/>
  <pageSetup paperSize="9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Parametros_PNAE</vt:lpstr>
      <vt:lpstr>Simulador_Escola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MARIA GABRIELA ESPIRITO SANTO DA SILVA</cp:lastModifiedBy>
  <cp:revision>0</cp:revision>
  <dcterms:created xsi:type="dcterms:W3CDTF">2026-08-19T11:20:05Z</dcterms:created>
  <dcterms:modified xsi:type="dcterms:W3CDTF">2026-09-03T19:36:58Z</dcterms:modified>
  <dc:language>en-US</dc:language>
</cp:coreProperties>
</file>